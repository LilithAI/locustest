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plication Tracker" sheetId="1" state="visible" r:id="rId3"/>
    <sheet name="Dashboard" sheetId="2" state="visible" r:id="rId4"/>
    <sheet name="How to Us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<sst xmlns="http://schemas.openxmlformats.org/spreadsheetml/2006/main" count="90" uniqueCount="77">
  <si>
    <t xml:space="preserve">LOCUS by LexRoot  |  Internship Application Tracker</t>
  </si>
  <si>
    <t xml:space="preserve">India's Merit-Based Legal Internship Platform  |  locusbyLexroot.in</t>
  </si>
  <si>
    <t xml:space="preserve">S.No.</t>
  </si>
  <si>
    <t xml:space="preserve">Firm / Chamber Name</t>
  </si>
  <si>
    <t xml:space="preserve">City</t>
  </si>
  <si>
    <t xml:space="preserve">Practice Area</t>
  </si>
  <si>
    <t xml:space="preserve">Contact Person</t>
  </si>
  <si>
    <t xml:space="preserve">Email Address</t>
  </si>
  <si>
    <t xml:space="preserve">Cold Email Sent</t>
  </si>
  <si>
    <t xml:space="preserve">Follow-Up Sent</t>
  </si>
  <si>
    <t xml:space="preserve">Application Status</t>
  </si>
  <si>
    <t xml:space="preserve">Internship Start</t>
  </si>
  <si>
    <t xml:space="preserve">Internship End</t>
  </si>
  <si>
    <t xml:space="preserve">NOC Required?</t>
  </si>
  <si>
    <t xml:space="preserve">NOC Submitted?</t>
  </si>
  <si>
    <t xml:space="preserve">Offer Letter?</t>
  </si>
  <si>
    <t xml:space="preserve">Certificate?</t>
  </si>
  <si>
    <t xml:space="preserve">Stipend (₹/month)</t>
  </si>
  <si>
    <t xml:space="preserve">Rating (1–5)</t>
  </si>
  <si>
    <t xml:space="preserve">Supervisor Name</t>
  </si>
  <si>
    <t xml:space="preserve">Notes / Next Action</t>
  </si>
  <si>
    <t xml:space="preserve">Cyril Amarchand Mangaldas</t>
  </si>
  <si>
    <t xml:space="preserve">Mumbai</t>
  </si>
  <si>
    <t xml:space="preserve">M&amp;A / Corporate</t>
  </si>
  <si>
    <t xml:space="preserve">HR – Internships</t>
  </si>
  <si>
    <t xml:space="preserve">internships@cam.co.in</t>
  </si>
  <si>
    <t xml:space="preserve">15-Mar-26</t>
  </si>
  <si>
    <t xml:space="preserve">Yes</t>
  </si>
  <si>
    <t xml:space="preserve">No</t>
  </si>
  <si>
    <t xml:space="preserve">Follow up by 28-Mar</t>
  </si>
  <si>
    <t xml:space="preserve">AZB &amp; Partners</t>
  </si>
  <si>
    <t xml:space="preserve">Delhi</t>
  </si>
  <si>
    <t xml:space="preserve">Dispute Resolution</t>
  </si>
  <si>
    <t xml:space="preserve">Placement Cell</t>
  </si>
  <si>
    <t xml:space="preserve">careers@azbpartners.com</t>
  </si>
  <si>
    <t xml:space="preserve">10-Mar-26</t>
  </si>
  <si>
    <t xml:space="preserve">24-Mar-26</t>
  </si>
  <si>
    <t xml:space="preserve">Acknowledged</t>
  </si>
  <si>
    <t xml:space="preserve">Waiting for response</t>
  </si>
  <si>
    <t xml:space="preserve">Trilegal</t>
  </si>
  <si>
    <t xml:space="preserve">Bengaluru</t>
  </si>
  <si>
    <t xml:space="preserve">Taxation</t>
  </si>
  <si>
    <t xml:space="preserve">internship@trilegal.com</t>
  </si>
  <si>
    <t xml:space="preserve">20-Mar-26</t>
  </si>
  <si>
    <t xml:space="preserve">Not Started</t>
  </si>
  <si>
    <t xml:space="preserve">01-May-26</t>
  </si>
  <si>
    <t xml:space="preserve">31-May-26</t>
  </si>
  <si>
    <t xml:space="preserve">💡  Tip: Use the dropdown in column I (Application Status) to track progress. Rate each completed internship in column Q (1 = poor, 5 = excellent).</t>
  </si>
  <si>
    <t xml:space="preserve">LOCUS by LexRoot  |  Application Stats Dashboard</t>
  </si>
  <si>
    <t xml:space="preserve">Formulas update automatically as you fill in the Tracker sheet</t>
  </si>
  <si>
    <t xml:space="preserve">Total Applications Sent</t>
  </si>
  <si>
    <t xml:space="preserve">Offers / Confirmations Received</t>
  </si>
  <si>
    <t xml:space="preserve">Internships Completed</t>
  </si>
  <si>
    <t xml:space="preserve">Currently Under Review</t>
  </si>
  <si>
    <t xml:space="preserve">Rejected</t>
  </si>
  <si>
    <t xml:space="preserve">Follow-Ups Pending</t>
  </si>
  <si>
    <t xml:space="preserve">Conversion Rate (Offers / Sent)</t>
  </si>
  <si>
    <t xml:space="preserve">Average Internship Rating</t>
  </si>
  <si>
    <t xml:space="preserve">How to Use This Tracker  —  Locus by LexRoot</t>
  </si>
  <si>
    <t xml:space="preserve">STEP 1</t>
  </si>
  <si>
    <t xml:space="preserve">Go to the 'Application Tracker' sheet. For every firm you apply to, fill in one row.</t>
  </si>
  <si>
    <t xml:space="preserve">Start with columns B (Firm Name), C (City), D (Practice Area), E (Contact Person), and F (Email).</t>
  </si>
  <si>
    <t xml:space="preserve">STEP 2</t>
  </si>
  <si>
    <t xml:space="preserve">When you send a cold email, enter the date in column G. Update column I (Status) to 'Cold Email Sent'.</t>
  </si>
  <si>
    <t xml:space="preserve">After 7–10 working days with no reply, send a follow-up and log the date in column H.</t>
  </si>
  <si>
    <t xml:space="preserve">STEP 3</t>
  </si>
  <si>
    <t xml:space="preserve">Use the dropdown in column I to track every stage: Acknowledged → Under Review → Offer Received → Internship Confirmed → Completed.</t>
  </si>
  <si>
    <t xml:space="preserve">STEP 4</t>
  </si>
  <si>
    <t xml:space="preserve">Once an offer is confirmed, fill in columns J &amp; K (Start and End dates), L (NOC required?), and N (Offer Letter received?).</t>
  </si>
  <si>
    <t xml:space="preserve">STEP 5</t>
  </si>
  <si>
    <t xml:space="preserve">After completing the internship, fill in column O (Certificate received?), P (Stipend), Q (Rating 1–5), and R (Supervisor Name).</t>
  </si>
  <si>
    <t xml:space="preserve">STEP 6</t>
  </si>
  <si>
    <t xml:space="preserve">Check the 'Dashboard' sheet at any time to see summary stats: total applications, conversion rate, average rating.</t>
  </si>
  <si>
    <t xml:space="preserve">TIP</t>
  </si>
  <si>
    <t xml:space="preserve">Sort column I by status to quickly see all 'Follow-Up Pending' or 'Under Review' rows.</t>
  </si>
  <si>
    <t xml:space="preserve">Use column S (Notes) to log the next action needed for each firm — e.g., 'Follow up on 5 April' or 'Submit NOC by Monday'.</t>
  </si>
  <si>
    <t xml:space="preserve">Download and save a fresh copy for each semester. Rename the file by year for easy reference.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</si>
</sst>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C9A84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E2E2E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66655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11"/>
      <color rgb="FF1A1A2E"/>
      <name val="Arial"/>
      <family val="0"/>
      <charset val="1"/>
    </font>
    <font>
      <b val="true"/>
      <sz val="13"/>
      <color rgb="FFC9A84C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1A1A2E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E8E5DC"/>
        <bgColor rgb="FFF5EDD0"/>
      </patternFill>
    </fill>
    <fill>
      <patternFill patternType="solid">
        <fgColor rgb="FFF5F5F0"/>
        <bgColor rgb="FFFFFDF5"/>
      </patternFill>
    </fill>
    <fill>
      <patternFill patternType="solid">
        <fgColor rgb="FFFFFDF5"/>
        <bgColor rgb="FFFFFFFF"/>
      </patternFill>
    </fill>
    <fill>
      <patternFill patternType="solid">
        <fgColor rgb="FFF5EDD0"/>
        <bgColor rgb="FFE8E5DC"/>
      </patternFill>
    </fill>
    <fill>
      <patternFill patternType="solid">
        <fgColor rgb="FFD0C9B5"/>
        <bgColor rgb="FFCCCCCC"/>
      </patternFill>
    </fill>
    <fill>
      <patternFill patternType="solid">
        <fgColor rgb="FFFFFFFF"/>
        <bgColor rgb="FFFFFD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9A84C"/>
      </left>
      <right style="thin">
        <color rgb="FFC9A84C"/>
      </right>
      <top style="thin">
        <color rgb="FFC9A84C"/>
      </top>
      <bottom style="thin">
        <color rgb="FFC9A84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9B5"/>
      <rgbColor rgb="FF808080"/>
      <rgbColor rgb="FF9999FF"/>
      <rgbColor rgb="FF993366"/>
      <rgbColor rgb="FFFFFDF5"/>
      <rgbColor rgb="FFF5F5F0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8E5DC"/>
      <rgbColor rgb="FFF5EDD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55"/>
      <rgbColor rgb="FFC9A84C"/>
      <rgbColor rgb="FF16213E"/>
      <rgbColor rgb="FF339966"/>
      <rgbColor rgb="FF003300"/>
      <rgbColor rgb="FF1A1A2E"/>
      <rgbColor rgb="FF993300"/>
      <rgbColor rgb="FF993366"/>
      <rgbColor rgb="FF333399"/>
      <rgbColor rgb="FF2E2E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30"/>
    <col collapsed="false" customWidth="true" hidden="false" outlineLevel="0" max="8" min="7" style="0" width="14"/>
    <col collapsed="false" customWidth="true" hidden="false" outlineLevel="0" max="9" min="9" style="0" width="18"/>
    <col collapsed="false" customWidth="true" hidden="false" outlineLevel="0" max="11" min="10" style="0" width="14"/>
    <col collapsed="false" customWidth="true" hidden="false" outlineLevel="0" max="15" min="12" style="0" width="12"/>
    <col collapsed="false" customWidth="true" hidden="false" outlineLevel="0" max="16" min="16" style="0" width="16"/>
    <col collapsed="false" customWidth="true" hidden="false" outlineLevel="0" max="17" min="17" style="0" width="14"/>
    <col collapsed="false" customWidth="true" hidden="false" outlineLevel="0" max="18" min="18" style="0" width="18"/>
    <col collapsed="false" customWidth="true" hidden="false" outlineLevel="0" max="19" min="19" style="0" width="3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7.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customFormat="false" ht="31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</row>
    <row r="5" customFormat="false" ht="19.5" hidden="false" customHeight="true" outlineLevel="0" collapsed="false">
      <c r="A5" s="5" t="n">
        <v>1</v>
      </c>
      <c r="B5" s="6" t="s">
        <v>21</v>
      </c>
      <c r="C5" s="6" t="s">
        <v>22</v>
      </c>
      <c r="D5" s="6" t="s">
        <v>23</v>
      </c>
      <c r="E5" s="6" t="s">
        <v>24</v>
      </c>
      <c r="F5" s="6" t="s">
        <v>25</v>
      </c>
      <c r="G5" s="6" t="s">
        <v>26</v>
      </c>
      <c r="H5" s="6"/>
      <c r="I5" s="6" t="s">
        <v>8</v>
      </c>
      <c r="J5" s="6"/>
      <c r="K5" s="6"/>
      <c r="L5" s="5" t="s">
        <v>27</v>
      </c>
      <c r="M5" s="5" t="s">
        <v>28</v>
      </c>
      <c r="N5" s="5" t="s">
        <v>28</v>
      </c>
      <c r="O5" s="5" t="s">
        <v>28</v>
      </c>
      <c r="P5" s="6"/>
      <c r="Q5" s="5"/>
      <c r="R5" s="6"/>
      <c r="S5" s="6" t="s">
        <v>29</v>
      </c>
    </row>
    <row r="6" customFormat="false" ht="19.5" hidden="false" customHeight="true" outlineLevel="0" collapsed="false">
      <c r="A6" s="7" t="n">
        <v>2</v>
      </c>
      <c r="B6" s="8" t="s">
        <v>30</v>
      </c>
      <c r="C6" s="8" t="s">
        <v>31</v>
      </c>
      <c r="D6" s="8" t="s">
        <v>32</v>
      </c>
      <c r="E6" s="8" t="s">
        <v>33</v>
      </c>
      <c r="F6" s="8" t="s">
        <v>34</v>
      </c>
      <c r="G6" s="8" t="s">
        <v>35</v>
      </c>
      <c r="H6" s="8" t="s">
        <v>36</v>
      </c>
      <c r="I6" s="8" t="s">
        <v>37</v>
      </c>
      <c r="J6" s="8"/>
      <c r="K6" s="8"/>
      <c r="L6" s="7" t="s">
        <v>27</v>
      </c>
      <c r="M6" s="7" t="s">
        <v>28</v>
      </c>
      <c r="N6" s="7" t="s">
        <v>28</v>
      </c>
      <c r="O6" s="7" t="s">
        <v>28</v>
      </c>
      <c r="P6" s="8"/>
      <c r="Q6" s="7"/>
      <c r="R6" s="8"/>
      <c r="S6" s="8" t="s">
        <v>38</v>
      </c>
    </row>
    <row r="7" customFormat="false" ht="19.5" hidden="false" customHeight="true" outlineLevel="0" collapsed="false">
      <c r="A7" s="5" t="n">
        <v>3</v>
      </c>
      <c r="B7" s="6" t="s">
        <v>39</v>
      </c>
      <c r="C7" s="6" t="s">
        <v>40</v>
      </c>
      <c r="D7" s="6" t="s">
        <v>41</v>
      </c>
      <c r="E7" s="6"/>
      <c r="F7" s="6" t="s">
        <v>42</v>
      </c>
      <c r="G7" s="6" t="s">
        <v>43</v>
      </c>
      <c r="H7" s="6"/>
      <c r="I7" s="6" t="s">
        <v>44</v>
      </c>
      <c r="J7" s="6" t="s">
        <v>45</v>
      </c>
      <c r="K7" s="6" t="s">
        <v>46</v>
      </c>
      <c r="L7" s="5" t="s">
        <v>27</v>
      </c>
      <c r="M7" s="5" t="s">
        <v>28</v>
      </c>
      <c r="N7" s="5" t="s">
        <v>28</v>
      </c>
      <c r="O7" s="5" t="s">
        <v>28</v>
      </c>
      <c r="P7" s="6"/>
      <c r="Q7" s="5"/>
      <c r="R7" s="6"/>
      <c r="S7" s="6"/>
    </row>
    <row r="8" customFormat="false" ht="19.5" hidden="false" customHeight="true" outlineLevel="0" collapsed="false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</row>
    <row r="9" customFormat="false" ht="19.5" hidden="false" customHeight="true" outlineLevel="0" collapsed="false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</row>
    <row r="10" customFormat="false" ht="19.5" hidden="false" customHeight="true" outlineLevel="0" collapsed="false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</row>
    <row r="11" customFormat="false" ht="19.5" hidden="false" customHeight="true" outlineLevel="0" collapsed="false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</row>
    <row r="12" customFormat="false" ht="19.5" hidden="false" customHeight="true" outlineLevel="0" collapsed="false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</row>
    <row r="13" customFormat="false" ht="19.5" hidden="false" customHeight="true" outlineLevel="0" collapsed="false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</row>
    <row r="14" customFormat="false" ht="19.5" hidden="false" customHeight="true" outlineLevel="0" collapsed="false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 customFormat="false" ht="19.5" hidden="false" customHeight="true" outlineLevel="0" collapsed="false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</row>
    <row r="16" customFormat="false" ht="19.5" hidden="false" customHeight="true" outlineLevel="0" collapsed="false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customFormat="false" ht="19.5" hidden="false" customHeight="true" outlineLevel="0" collapsed="false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</row>
    <row r="18" customFormat="false" ht="19.5" hidden="false" customHeight="true" outlineLevel="0" collapsed="false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customFormat="false" ht="19.5" hidden="false" customHeight="true" outlineLevel="0" collapsed="false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</row>
    <row r="20" customFormat="false" ht="19.5" hidden="false" customHeight="true" outlineLevel="0" collapsed="false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customFormat="false" ht="19.5" hidden="false" customHeight="true" outlineLevel="0" collapsed="false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</row>
    <row r="22" customFormat="false" ht="19.5" hidden="false" customHeight="true" outlineLevel="0" collapsed="false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customFormat="false" ht="19.5" hidden="false" customHeight="true" outlineLevel="0" collapsed="false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</row>
    <row r="24" customFormat="false" ht="19.5" hidden="false" customHeight="true" outlineLevel="0" collapsed="false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customFormat="false" ht="19.5" hidden="false" customHeight="true" outlineLevel="0" collapsed="false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</row>
    <row r="26" customFormat="false" ht="19.5" hidden="false" customHeight="true" outlineLevel="0" collapsed="false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customFormat="false" ht="19.5" hidden="false" customHeight="true" outlineLevel="0" collapsed="false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</row>
    <row r="28" customFormat="false" ht="19.5" hidden="false" customHeight="true" outlineLevel="0" collapsed="false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customFormat="false" ht="19.5" hidden="false" customHeight="true" outlineLevel="0" collapsed="false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</row>
    <row r="30" customFormat="false" ht="19.5" hidden="false" customHeight="true" outlineLevel="0" collapsed="false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customFormat="false" ht="19.5" hidden="false" customHeight="true" outlineLevel="0" collapsed="false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</row>
    <row r="32" customFormat="false" ht="19.5" hidden="false" customHeight="true" outlineLevel="0" collapsed="false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customFormat="false" ht="19.5" hidden="false" customHeight="true" outlineLevel="0" collapsed="false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</row>
    <row r="34" customFormat="false" ht="19.5" hidden="false" customHeight="true" outlineLevel="0" collapsed="false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customFormat="false" ht="19.5" hidden="false" customHeight="true" outlineLevel="0" collapsed="false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</row>
    <row r="36" customFormat="false" ht="19.5" hidden="false" customHeight="true" outlineLevel="0" collapsed="false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customFormat="false" ht="19.5" hidden="false" customHeight="true" outlineLevel="0" collapsed="false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</row>
    <row r="38" customFormat="false" ht="19.5" hidden="false" customHeight="true" outlineLevel="0" collapsed="false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customFormat="false" ht="19.5" hidden="false" customHeight="true" outlineLevel="0" collapsed="false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</row>
    <row r="40" customFormat="false" ht="19.5" hidden="false" customHeight="true" outlineLevel="0" collapsed="false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customFormat="false" ht="19.5" hidden="false" customHeight="true" outlineLevel="0" collapsed="false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</row>
    <row r="42" customFormat="false" ht="19.5" hidden="false" customHeight="true" outlineLevel="0" collapsed="false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customFormat="false" ht="19.5" hidden="false" customHeight="tru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</row>
    <row r="44" customFormat="false" ht="19.5" hidden="false" customHeight="true" outlineLevel="0" collapsed="false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</row>
    <row r="45" customFormat="false" ht="19.5" hidden="false" customHeight="true" outlineLevel="0" collapsed="false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</row>
    <row r="46" customFormat="false" ht="19.5" hidden="false" customHeight="true" outlineLevel="0" collapsed="false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customFormat="false" ht="19.5" hidden="false" customHeight="true" outlineLevel="0" collapsed="false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</row>
    <row r="48" customFormat="false" ht="19.5" hidden="false" customHeight="true" outlineLevel="0" collapsed="false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 customFormat="false" ht="19.5" hidden="false" customHeight="true" outlineLevel="0" collapsed="false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</row>
    <row r="50" customFormat="false" ht="19.5" hidden="false" customHeight="true" outlineLevel="0" collapsed="false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</row>
    <row r="51" customFormat="false" ht="19.5" hidden="false" customHeight="true" outlineLevel="0" collapsed="false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</row>
    <row r="52" customFormat="false" ht="19.5" hidden="false" customHeight="true" outlineLevel="0" collapsed="false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</row>
    <row r="53" customFormat="false" ht="19.5" hidden="false" customHeight="true" outlineLevel="0" collapsed="false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</row>
    <row r="54" customFormat="false" ht="19.5" hidden="false" customHeight="true" outlineLevel="0" collapsed="false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</row>
    <row r="55" customFormat="false" ht="19.5" hidden="false" customHeight="true" outlineLevel="0" collapsed="false">
      <c r="A55" s="11" t="s">
        <v>47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</row>
  </sheetData>
  <mergeCells count="3">
    <mergeCell ref="A1:S1"/>
    <mergeCell ref="A2:S2"/>
    <mergeCell ref="A55:S55"/>
  </mergeCells>
  <dataValidations count="3">
    <dataValidation allowBlank="true" errorStyle="stop" operator="between" showDropDown="false" showErrorMessage="false" showInputMessage="false" sqref="I5:I54" type="list">
      <formula1>"Not Started,Cold Email Sent,Follow-Up Sent,Acknowledged,Under Review,Rejected,Offer Received,Internship Confirmed,Completed,Declined"</formula1>
      <formula2>0</formula2>
    </dataValidation>
    <dataValidation allowBlank="true" errorStyle="stop" operator="between" showDropDown="false" showErrorMessage="false" showInputMessage="false" sqref="L5:O54" type="list">
      <formula1>"Yes,No,N/A"</formula1>
      <formula2>0</formula2>
    </dataValidation>
    <dataValidation allowBlank="true" errorStyle="stop" operator="between" showDropDown="false" showErrorMessage="false" showInputMessage="false" sqref="Q5:Q54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3"/>
    <col collapsed="false" customWidth="true" hidden="false" outlineLevel="0" max="4" min="4" style="0" width="18"/>
  </cols>
  <sheetData>
    <row r="1" customFormat="false" ht="33.75" hidden="false" customHeight="true" outlineLevel="0" collapsed="false">
      <c r="A1" s="12" t="s">
        <v>48</v>
      </c>
      <c r="B1" s="12"/>
      <c r="C1" s="12"/>
      <c r="D1" s="12"/>
      <c r="E1" s="12"/>
      <c r="F1" s="12"/>
      <c r="G1" s="12"/>
      <c r="H1" s="12"/>
    </row>
    <row r="2" customFormat="false" ht="19.5" hidden="false" customHeight="true" outlineLevel="0" collapsed="false">
      <c r="A2" s="2" t="s">
        <v>49</v>
      </c>
      <c r="B2" s="2"/>
      <c r="C2" s="2"/>
      <c r="D2" s="2"/>
      <c r="E2" s="2"/>
      <c r="F2" s="2"/>
      <c r="G2" s="2"/>
      <c r="H2" s="2"/>
    </row>
    <row r="4" customFormat="false" ht="24" hidden="false" customHeight="true" outlineLevel="0" collapsed="false">
      <c r="B4" s="13" t="s">
        <v>50</v>
      </c>
      <c r="D4" s="14" t="n">
        <f aca="false">COUNTA('Application Tracker'!B5:B54)</f>
        <v>3</v>
      </c>
    </row>
    <row r="5" customFormat="false" ht="24" hidden="false" customHeight="true" outlineLevel="0" collapsed="false">
      <c r="B5" s="13" t="s">
        <v>51</v>
      </c>
      <c r="D5" s="14" t="n">
        <f aca="false">COUNTIF('Application Tracker'!I5:I54,"Offer Received")+COUNTIF('Application Tracker'!I5:I54,"Internship Confirmed")</f>
        <v>0</v>
      </c>
    </row>
    <row r="6" customFormat="false" ht="24" hidden="false" customHeight="true" outlineLevel="0" collapsed="false">
      <c r="B6" s="13" t="s">
        <v>52</v>
      </c>
      <c r="D6" s="14" t="n">
        <f aca="false">COUNTIF('Application Tracker'!I5:I54,"Completed")</f>
        <v>0</v>
      </c>
    </row>
    <row r="7" customFormat="false" ht="24" hidden="false" customHeight="true" outlineLevel="0" collapsed="false">
      <c r="B7" s="13" t="s">
        <v>53</v>
      </c>
      <c r="D7" s="14" t="n">
        <f aca="false">COUNTIF('Application Tracker'!I5:I54,"Under Review")+COUNTIF('Application Tracker'!I5:I54,"Acknowledged")</f>
        <v>1</v>
      </c>
    </row>
    <row r="8" customFormat="false" ht="24" hidden="false" customHeight="true" outlineLevel="0" collapsed="false">
      <c r="B8" s="13" t="s">
        <v>54</v>
      </c>
      <c r="D8" s="14" t="n">
        <f aca="false">COUNTIF('Application Tracker'!I5:I54,"Rejected")</f>
        <v>0</v>
      </c>
    </row>
    <row r="9" customFormat="false" ht="24" hidden="false" customHeight="true" outlineLevel="0" collapsed="false">
      <c r="B9" s="13" t="s">
        <v>55</v>
      </c>
      <c r="D9" s="14" t="n">
        <f aca="false">COUNTIF('Application Tracker'!I5:I54,"Cold Email Sent")</f>
        <v>1</v>
      </c>
    </row>
    <row r="10" customFormat="false" ht="6" hidden="false" customHeight="true" outlineLevel="0" collapsed="false">
      <c r="B10" s="15"/>
      <c r="C10" s="15"/>
      <c r="D10" s="15"/>
    </row>
    <row r="11" customFormat="false" ht="24" hidden="false" customHeight="true" outlineLevel="0" collapsed="false">
      <c r="B11" s="13" t="s">
        <v>56</v>
      </c>
      <c r="D11" s="14" t="str">
        <f aca="false">IFERROR(TEXT((COUNTIF('Application Tracker'!I5:I54,"Offer Received")+COUNTIF('Application Tracker'!I5:I54,"Internship Confirmed")+COUNTIF('Application Tracker'!I5:I54,"Completed"))/COUNTA('Application Tracker'!B5:B54),"0.0%"),"—")</f>
        <v>0.0%</v>
      </c>
    </row>
    <row r="12" customFormat="false" ht="24" hidden="false" customHeight="true" outlineLevel="0" collapsed="false">
      <c r="B12" s="13" t="s">
        <v>57</v>
      </c>
      <c r="D12" s="14" t="str">
        <f aca="false">IFERROR(TEXT(AVERAGE('Application Tracker'!Q5:Q54),"0.0"),"—")</f>
        <v>—</v>
      </c>
    </row>
  </sheetData>
  <mergeCells count="3">
    <mergeCell ref="A1:H1"/>
    <mergeCell ref="A2:H2"/>
    <mergeCell ref="B10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2"/>
  </cols>
  <sheetData>
    <row r="1" customFormat="false" ht="30" hidden="false" customHeight="true" outlineLevel="0" collapsed="false">
      <c r="A1" s="16" t="s">
        <v>58</v>
      </c>
      <c r="B1" s="16"/>
      <c r="C1" s="16"/>
      <c r="D1" s="16"/>
    </row>
    <row r="2" customFormat="false" ht="7.5" hidden="false" customHeight="true" outlineLevel="0" collapsed="false">
      <c r="A2" s="17"/>
      <c r="B2" s="18"/>
    </row>
    <row r="3" customFormat="false" ht="21.75" hidden="false" customHeight="true" outlineLevel="0" collapsed="false">
      <c r="A3" s="19" t="s">
        <v>59</v>
      </c>
      <c r="B3" s="20" t="s">
        <v>60</v>
      </c>
    </row>
    <row r="4" customFormat="false" ht="21.75" hidden="false" customHeight="true" outlineLevel="0" collapsed="false">
      <c r="A4" s="17"/>
      <c r="B4" s="18" t="s">
        <v>61</v>
      </c>
    </row>
    <row r="5" customFormat="false" ht="7.5" hidden="false" customHeight="true" outlineLevel="0" collapsed="false">
      <c r="A5" s="17"/>
      <c r="B5" s="18"/>
    </row>
    <row r="6" customFormat="false" ht="21.75" hidden="false" customHeight="true" outlineLevel="0" collapsed="false">
      <c r="A6" s="19" t="s">
        <v>62</v>
      </c>
      <c r="B6" s="20" t="s">
        <v>63</v>
      </c>
    </row>
    <row r="7" customFormat="false" ht="21.75" hidden="false" customHeight="true" outlineLevel="0" collapsed="false">
      <c r="A7" s="17"/>
      <c r="B7" s="18" t="s">
        <v>64</v>
      </c>
    </row>
    <row r="8" customFormat="false" ht="7.5" hidden="false" customHeight="true" outlineLevel="0" collapsed="false">
      <c r="A8" s="17"/>
      <c r="B8" s="18"/>
    </row>
    <row r="9" customFormat="false" ht="21.75" hidden="false" customHeight="true" outlineLevel="0" collapsed="false">
      <c r="A9" s="19" t="s">
        <v>65</v>
      </c>
      <c r="B9" s="20" t="s">
        <v>66</v>
      </c>
    </row>
    <row r="10" customFormat="false" ht="7.5" hidden="false" customHeight="true" outlineLevel="0" collapsed="false">
      <c r="A10" s="17"/>
      <c r="B10" s="18"/>
    </row>
    <row r="11" customFormat="false" ht="21.75" hidden="false" customHeight="true" outlineLevel="0" collapsed="false">
      <c r="A11" s="19" t="s">
        <v>67</v>
      </c>
      <c r="B11" s="20" t="s">
        <v>68</v>
      </c>
    </row>
    <row r="12" customFormat="false" ht="7.5" hidden="false" customHeight="true" outlineLevel="0" collapsed="false">
      <c r="A12" s="17"/>
      <c r="B12" s="18"/>
    </row>
    <row r="13" customFormat="false" ht="21.75" hidden="false" customHeight="true" outlineLevel="0" collapsed="false">
      <c r="A13" s="19" t="s">
        <v>69</v>
      </c>
      <c r="B13" s="20" t="s">
        <v>70</v>
      </c>
    </row>
    <row r="14" customFormat="false" ht="7.5" hidden="false" customHeight="true" outlineLevel="0" collapsed="false">
      <c r="A14" s="17"/>
      <c r="B14" s="18"/>
    </row>
    <row r="15" customFormat="false" ht="21.75" hidden="false" customHeight="true" outlineLevel="0" collapsed="false">
      <c r="A15" s="19" t="s">
        <v>71</v>
      </c>
      <c r="B15" s="20" t="s">
        <v>72</v>
      </c>
    </row>
    <row r="16" customFormat="false" ht="7.5" hidden="false" customHeight="true" outlineLevel="0" collapsed="false">
      <c r="A16" s="17"/>
      <c r="B16" s="18"/>
    </row>
    <row r="17" customFormat="false" ht="21.75" hidden="false" customHeight="true" outlineLevel="0" collapsed="false">
      <c r="A17" s="19" t="s">
        <v>73</v>
      </c>
      <c r="B17" s="20" t="s">
        <v>74</v>
      </c>
    </row>
    <row r="18" customFormat="false" ht="21.75" hidden="false" customHeight="true" outlineLevel="0" collapsed="false">
      <c r="A18" s="19" t="s">
        <v>73</v>
      </c>
      <c r="B18" s="20" t="s">
        <v>75</v>
      </c>
    </row>
    <row r="19" customFormat="false" ht="21.75" hidden="false" customHeight="true" outlineLevel="0" collapsed="false">
      <c r="A19" s="19" t="s">
        <v>73</v>
      </c>
      <c r="B19" s="20" t="s">
        <v>76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2026-03-24T14:44:01Z</dcterms:created>
  <dc:creator>openpyxl</dc:creator>
  <dc:description/>
  <dc:language>en-US</dc:language>
  <cp:lastModifiedBy/>
  <dcterms:modified xsi:type="dcterms:W3CDTF">2026-03-24T14:44:01Z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